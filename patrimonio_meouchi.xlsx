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Mis Datos" sheetId="2" state="visible" r:id="rId4"/>
    <sheet name="Proyección" sheetId="3" state="visible" r:id="rId5"/>
    <sheet name="Próximos Pas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<sst xmlns="http://schemas.openxmlformats.org/spreadsheetml/2006/main" count="57" uniqueCount="53">
  <si>
    <t xml:space="preserve">Planificador de Patrimonio Personal</t>
  </si>
  <si>
    <t xml:space="preserve">Meouchi Consultores · Seguros e Inversiones</t>
  </si>
  <si>
    <t xml:space="preserve">¿Estás construyendo patrimonio de verdad?</t>
  </si>
  <si>
    <t xml:space="preserve">Puedes ganar bien, usar tu dinero bien — y aún así no estar construyendo nada. Esta plantilla te muestra exactamente dónde estás parado y a dónde vas.</t>
  </si>
  <si>
    <t xml:space="preserve">1. Mis Datos</t>
  </si>
  <si>
    <t xml:space="preserve">2. Proyección</t>
  </si>
  <si>
    <t xml:space="preserve">→  Empieza en la pestaña  'Mis Datos'  →  luego revisa  'Proyección'</t>
  </si>
  <si>
    <t xml:space="preserve">Supuestos: Inflación 4.5% anual · Rendimiento 6% anual · Modelo de renta perpetua
Cálculo informativo. No constituye asesoría financiera vinculante. Regulado por la CNSF.</t>
  </si>
  <si>
    <t xml:space="preserve">Mis Datos Financieros</t>
  </si>
  <si>
    <t xml:space="preserve">  Perfil Personal</t>
  </si>
  <si>
    <t xml:space="preserve">Edad actual</t>
  </si>
  <si>
    <t xml:space="preserve">años</t>
  </si>
  <si>
    <t xml:space="preserve">Edad de retiro deseada</t>
  </si>
  <si>
    <t xml:space="preserve">  Situación Financiera Actual</t>
  </si>
  <si>
    <t xml:space="preserve">Ingreso mensual neto</t>
  </si>
  <si>
    <t xml:space="preserve">$/mes</t>
  </si>
  <si>
    <t xml:space="preserve">Gastos mensuales totales</t>
  </si>
  <si>
    <t xml:space="preserve">Lo que ahorras/inviertes hoy</t>
  </si>
  <si>
    <t xml:space="preserve">🔵 Ingresa tus datos en azul</t>
  </si>
  <si>
    <t xml:space="preserve">Patrimonio acumulado hoy</t>
  </si>
  <si>
    <t xml:space="preserve">$</t>
  </si>
  <si>
    <t xml:space="preserve">Inversiones, ahorros, etc.</t>
  </si>
  <si>
    <t xml:space="preserve">  Supuestos del Cálculo</t>
  </si>
  <si>
    <t xml:space="preserve">Inflación anual estimada</t>
  </si>
  <si>
    <t xml:space="preserve">%</t>
  </si>
  <si>
    <t xml:space="preserve">Rendimiento anual de inversión</t>
  </si>
  <si>
    <t xml:space="preserve">  Resumen Calculado</t>
  </si>
  <si>
    <t xml:space="preserve">Años hasta el retiro</t>
  </si>
  <si>
    <t xml:space="preserve">Gasto mensual proyectado al retiro</t>
  </si>
  <si>
    <t xml:space="preserve">Gasto anual al retiro</t>
  </si>
  <si>
    <t xml:space="preserve">Capital necesario al retiro</t>
  </si>
  <si>
    <t xml:space="preserve">Brecha a cubrir</t>
  </si>
  <si>
    <t xml:space="preserve">Las celdas amarillas son tus entradas. Modifícalas para simular distintos escenarios.</t>
  </si>
  <si>
    <t xml:space="preserve">Proyección de Patrimonio</t>
  </si>
  <si>
    <t xml:space="preserve">Año</t>
  </si>
  <si>
    <t xml:space="preserve">Edad</t>
  </si>
  <si>
    <t xml:space="preserve">Trayectoria Actual ($)</t>
  </si>
  <si>
    <t xml:space="preserve">Con Estrategia ($)</t>
  </si>
  <si>
    <t xml:space="preserve">Capital Necesario ($)</t>
  </si>
  <si>
    <t xml:space="preserve">Diferencia ($)</t>
  </si>
  <si>
    <t xml:space="preserve">Gris = trayectoria actual · Naranja = con estrategia · Rojo punteado = capital necesario al retiro</t>
  </si>
  <si>
    <t xml:space="preserve">Próximos Pasos</t>
  </si>
  <si>
    <t xml:space="preserve">  1.  Define tu número mínimo de ahorro</t>
  </si>
  <si>
    <t xml:space="preserve">Antes de invertir, necesitas saber cuánto puedes separar cada mes de forma consistente. Ese número es tu base.</t>
  </si>
  <si>
    <t xml:space="preserve">  2.  Automatiza antes de gastar</t>
  </si>
  <si>
    <t xml:space="preserve">El dinero que no ves no se gasta. Separa tu ahorro el mismo día que entra tu ingreso — antes de cualquier gasto.</t>
  </si>
  <si>
    <t xml:space="preserve">  3.  Entiende la diferencia entre ahorrar e invertir</t>
  </si>
  <si>
    <t xml:space="preserve">Ahorrar preserva valor. Invertir lo multiplica. Un fondo de retiro bien estructurado hace las dos cosas a la vez.</t>
  </si>
  <si>
    <t xml:space="preserve">  4.  Habla con un asesor cuando estés listo</t>
  </si>
  <si>
    <t xml:space="preserve">Cuando alcances $4,000/mes de ahorro sostenido, ese es el momento de poner ese dinero a trabajar en serio con un plan.</t>
  </si>
  <si>
    <t xml:space="preserve">  5.  El tiempo es tu activo más valioso</t>
  </si>
  <si>
    <t xml:space="preserve">Empezar hoy con poco supera casi siempre a empezar mañana con mucho. El interés compuesto trabaja con quien empieza antes.</t>
  </si>
  <si>
    <t xml:space="preserve">¿Lista para construir tu patrimonio? → wa.me/528140078720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</si>
</sst>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"/>
    <numFmt numFmtId="168" formatCode="\$#,##0;&quot;($&quot;#,##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E8751A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A5F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E875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9E6"/>
      </patternFill>
    </fill>
    <fill>
      <patternFill patternType="solid">
        <fgColor rgb="FF1F3A5F"/>
        <bgColor rgb="FF333399"/>
      </patternFill>
    </fill>
    <fill>
      <patternFill patternType="solid">
        <fgColor rgb="FFE8751A"/>
        <bgColor rgb="FFFF9900"/>
      </patternFill>
    </fill>
    <fill>
      <patternFill patternType="solid">
        <fgColor rgb="FFF5F5F5"/>
        <bgColor rgb="FFFFF9E6"/>
      </patternFill>
    </fill>
    <fill>
      <patternFill patternType="solid">
        <fgColor rgb="FFFFF9E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9E6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51A"/>
      <rgbColor rgb="FF666666"/>
      <rgbColor rgb="FF888888"/>
      <rgbColor rgb="FF1F3A5F"/>
      <rgbColor rgb="FF339966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Proyección!D7</c:f>
              <c:strCache>
                <c:ptCount val="1"/>
                <c:pt idx="0">
                  <c:v>Trayectoria Actual ($)</c:v>
                </c:pt>
              </c:strCache>
            </c:strRef>
          </c:tx>
          <c:spPr>
            <a:solidFill>
              <a:srgbClr val="888888"/>
            </a:solidFill>
            <a:ln w="18000">
              <a:solidFill>
                <a:srgbClr val="8888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Proyección!$D$8:$D$38</c:f>
              <c:numCache>
                <c:formatCode>\$#,##0</c:formatCode>
                <c:ptCount val="31"/>
                <c:pt idx="0">
                  <c:v>0</c:v>
                </c:pt>
                <c:pt idx="1">
                  <c:v>48000</c:v>
                </c:pt>
                <c:pt idx="2">
                  <c:v>98880</c:v>
                </c:pt>
                <c:pt idx="3">
                  <c:v>152812.8</c:v>
                </c:pt>
                <c:pt idx="4">
                  <c:v>209981.568</c:v>
                </c:pt>
                <c:pt idx="5">
                  <c:v>270580.46208</c:v>
                </c:pt>
                <c:pt idx="6">
                  <c:v>334815.2898048</c:v>
                </c:pt>
                <c:pt idx="7">
                  <c:v>402904.207193088</c:v>
                </c:pt>
                <c:pt idx="8">
                  <c:v>475078.459624673</c:v>
                </c:pt>
                <c:pt idx="9">
                  <c:v>551583.167202154</c:v>
                </c:pt>
                <c:pt idx="10">
                  <c:v>632678.157234283</c:v>
                </c:pt>
                <c:pt idx="11">
                  <c:v>718638.84666834</c:v>
                </c:pt>
                <c:pt idx="12">
                  <c:v>809757.17746844</c:v>
                </c:pt>
                <c:pt idx="13">
                  <c:v>906342.608116547</c:v>
                </c:pt>
                <c:pt idx="14">
                  <c:v>1008723.16460354</c:v>
                </c:pt>
                <c:pt idx="15">
                  <c:v>1117246.55447975</c:v>
                </c:pt>
                <c:pt idx="16">
                  <c:v>1232281.34774854</c:v>
                </c:pt>
                <c:pt idx="17">
                  <c:v>1354218.22861345</c:v>
                </c:pt>
                <c:pt idx="18">
                  <c:v>1483471.32233026</c:v>
                </c:pt>
                <c:pt idx="19">
                  <c:v>1620479.60167007</c:v>
                </c:pt>
                <c:pt idx="20">
                  <c:v>1765708.37777028</c:v>
                </c:pt>
                <c:pt idx="21">
                  <c:v>1919650.88043649</c:v>
                </c:pt>
                <c:pt idx="22">
                  <c:v>2082829.93326268</c:v>
                </c:pt>
                <c:pt idx="23">
                  <c:v>2255799.72925844</c:v>
                </c:pt>
                <c:pt idx="24">
                  <c:v>2439147.71301395</c:v>
                </c:pt>
                <c:pt idx="25">
                  <c:v>2633496.57579479</c:v>
                </c:pt>
                <c:pt idx="26">
                  <c:v>2839506.37034248</c:v>
                </c:pt>
                <c:pt idx="27">
                  <c:v>3057876.75256302</c:v>
                </c:pt>
                <c:pt idx="28">
                  <c:v>3289349.35771681</c:v>
                </c:pt>
                <c:pt idx="29">
                  <c:v>3534710.31917981</c:v>
                </c:pt>
                <c:pt idx="30">
                  <c:v>3794792.9383306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Proyección!E7</c:f>
              <c:strCache>
                <c:ptCount val="1"/>
                <c:pt idx="0">
                  <c:v>Con Estrategia ($)</c:v>
                </c:pt>
              </c:strCache>
            </c:strRef>
          </c:tx>
          <c:spPr>
            <a:solidFill>
              <a:srgbClr val="e8751a"/>
            </a:solidFill>
            <a:ln w="21960">
              <a:solidFill>
                <a:srgbClr val="e875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Proyección!$E$8:$E$38</c:f>
              <c:numCache>
                <c:formatCode>\$#,##0</c:formatCode>
                <c:ptCount val="31"/>
                <c:pt idx="0">
                  <c:v>0</c:v>
                </c:pt>
                <c:pt idx="1">
                  <c:v>72000</c:v>
                </c:pt>
                <c:pt idx="2">
                  <c:v>149760</c:v>
                </c:pt>
                <c:pt idx="3">
                  <c:v>233740.8</c:v>
                </c:pt>
                <c:pt idx="4">
                  <c:v>324440.064</c:v>
                </c:pt>
                <c:pt idx="5">
                  <c:v>422395.26912</c:v>
                </c:pt>
                <c:pt idx="6">
                  <c:v>528186.8906496</c:v>
                </c:pt>
                <c:pt idx="7">
                  <c:v>642441.841901568</c:v>
                </c:pt>
                <c:pt idx="8">
                  <c:v>765837.189253694</c:v>
                </c:pt>
                <c:pt idx="9">
                  <c:v>899104.164393989</c:v>
                </c:pt>
                <c:pt idx="10">
                  <c:v>1043032.49754551</c:v>
                </c:pt>
                <c:pt idx="11">
                  <c:v>1198475.09734915</c:v>
                </c:pt>
                <c:pt idx="12">
                  <c:v>1366353.10513708</c:v>
                </c:pt>
                <c:pt idx="13">
                  <c:v>1547661.35354805</c:v>
                </c:pt>
                <c:pt idx="14">
                  <c:v>1743474.26183189</c:v>
                </c:pt>
                <c:pt idx="15">
                  <c:v>1954952.20277844</c:v>
                </c:pt>
                <c:pt idx="16">
                  <c:v>2183348.37900072</c:v>
                </c:pt>
                <c:pt idx="17">
                  <c:v>2430016.24932078</c:v>
                </c:pt>
                <c:pt idx="18">
                  <c:v>2696417.54926644</c:v>
                </c:pt>
                <c:pt idx="19">
                  <c:v>2984130.95320775</c:v>
                </c:pt>
                <c:pt idx="20">
                  <c:v>3294861.42946437</c:v>
                </c:pt>
                <c:pt idx="21">
                  <c:v>3630450.34382152</c:v>
                </c:pt>
                <c:pt idx="22">
                  <c:v>3992886.37132725</c:v>
                </c:pt>
                <c:pt idx="23">
                  <c:v>4384317.28103343</c:v>
                </c:pt>
                <c:pt idx="24">
                  <c:v>4807062.6635161</c:v>
                </c:pt>
                <c:pt idx="25">
                  <c:v>5263627.67659739</c:v>
                </c:pt>
                <c:pt idx="26">
                  <c:v>5756717.89072518</c:v>
                </c:pt>
                <c:pt idx="27">
                  <c:v>6289255.32198319</c:v>
                </c:pt>
                <c:pt idx="28">
                  <c:v>6864395.74774185</c:v>
                </c:pt>
                <c:pt idx="29">
                  <c:v>7485547.4075612</c:v>
                </c:pt>
                <c:pt idx="30">
                  <c:v>8156391.20016609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Proyección!F7</c:f>
              <c:strCache>
                <c:ptCount val="1"/>
                <c:pt idx="0">
                  <c:v>Capital Necesario ($)</c:v>
                </c:pt>
              </c:strCache>
            </c:strRef>
          </c:tx>
          <c:spPr>
            <a:solidFill>
              <a:srgbClr val="c62828"/>
            </a:solidFill>
            <a:ln w="15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Proyección!$F$8:$F$38</c:f>
              <c:numCache>
                <c:formatCode>\$#,##0</c:formatCode>
                <c:ptCount val="31"/>
                <c:pt idx="0">
                  <c:v>18726590.6726843</c:v>
                </c:pt>
                <c:pt idx="1">
                  <c:v>18726590.6726843</c:v>
                </c:pt>
                <c:pt idx="2">
                  <c:v>18726590.6726843</c:v>
                </c:pt>
                <c:pt idx="3">
                  <c:v>18726590.6726843</c:v>
                </c:pt>
                <c:pt idx="4">
                  <c:v>18726590.6726843</c:v>
                </c:pt>
                <c:pt idx="5">
                  <c:v>18726590.6726843</c:v>
                </c:pt>
                <c:pt idx="6">
                  <c:v>18726590.6726843</c:v>
                </c:pt>
                <c:pt idx="7">
                  <c:v>18726590.6726843</c:v>
                </c:pt>
                <c:pt idx="8">
                  <c:v>18726590.6726843</c:v>
                </c:pt>
                <c:pt idx="9">
                  <c:v>18726590.6726843</c:v>
                </c:pt>
                <c:pt idx="10">
                  <c:v>18726590.6726843</c:v>
                </c:pt>
                <c:pt idx="11">
                  <c:v>18726590.6726843</c:v>
                </c:pt>
                <c:pt idx="12">
                  <c:v>18726590.6726843</c:v>
                </c:pt>
                <c:pt idx="13">
                  <c:v>18726590.6726843</c:v>
                </c:pt>
                <c:pt idx="14">
                  <c:v>18726590.6726843</c:v>
                </c:pt>
                <c:pt idx="15">
                  <c:v>18726590.6726843</c:v>
                </c:pt>
                <c:pt idx="16">
                  <c:v>18726590.6726843</c:v>
                </c:pt>
                <c:pt idx="17">
                  <c:v>18726590.6726843</c:v>
                </c:pt>
                <c:pt idx="18">
                  <c:v>18726590.6726843</c:v>
                </c:pt>
                <c:pt idx="19">
                  <c:v>18726590.6726843</c:v>
                </c:pt>
                <c:pt idx="20">
                  <c:v>18726590.6726843</c:v>
                </c:pt>
                <c:pt idx="21">
                  <c:v>18726590.6726843</c:v>
                </c:pt>
                <c:pt idx="22">
                  <c:v>18726590.6726843</c:v>
                </c:pt>
                <c:pt idx="23">
                  <c:v>18726590.6726843</c:v>
                </c:pt>
                <c:pt idx="24">
                  <c:v>18726590.6726843</c:v>
                </c:pt>
                <c:pt idx="25">
                  <c:v>18726590.6726843</c:v>
                </c:pt>
                <c:pt idx="26">
                  <c:v>18726590.6726843</c:v>
                </c:pt>
                <c:pt idx="27">
                  <c:v>18726590.6726843</c:v>
                </c:pt>
                <c:pt idx="28">
                  <c:v>18726590.6726843</c:v>
                </c:pt>
                <c:pt idx="29">
                  <c:v>18726590.6726843</c:v>
                </c:pt>
                <c:pt idx="30">
                  <c:v>18726590.6726843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062522"/>
        <c:axId val="62225755"/>
      </c:lineChart>
      <c:catAx>
        <c:axId val="75062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25755"/>
        <c:crosses val="autoZero"/>
        <c:auto val="1"/>
        <c:lblAlgn val="ctr"/>
        <c:lblOffset val="100"/>
        <c:noMultiLvlLbl val="0"/>
      </c:catAx>
      <c:valAx>
        <c:axId val="62225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Patrimonio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62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</xdr:col>
      <xdr:colOff>1714320</xdr:colOff>
      <xdr:row>2</xdr:row>
      <xdr:rowOff>523440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324000"/>
          <a:ext cx="171432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11</xdr:col>
      <xdr:colOff>61200</xdr:colOff>
      <xdr:row>66</xdr:row>
      <xdr:rowOff>86400</xdr:rowOff>
    </xdr:to>
    <xdr:graphicFrame>
      <xdr:nvGraphicFramePr>
        <xdr:cNvPr id="1" name="Chart 1"/>
        <xdr:cNvGraphicFramePr/>
      </xdr:nvGraphicFramePr>
      <xdr:xfrm>
        <a:off x="211320" y="89820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28"/>
    <col collapsed="false" customWidth="true" hidden="false" outlineLevel="0" max="6" min="4" style="0" width="22"/>
    <col collapsed="false" customWidth="true" hidden="false" outlineLevel="0" max="7" min="7" style="0" width="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60" hidden="false" customHeight="true" outlineLevel="0" collapsed="false">
      <c r="A3" s="1"/>
      <c r="B3" s="1"/>
      <c r="C3" s="1"/>
      <c r="D3" s="1"/>
      <c r="E3" s="1"/>
      <c r="F3" s="1"/>
      <c r="G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</row>
    <row r="8" customFormat="false" ht="18" hidden="false" customHeight="true" outlineLevel="0" collapsed="false">
      <c r="A8" s="1"/>
      <c r="B8" s="1"/>
      <c r="C8" s="1"/>
      <c r="D8" s="1"/>
      <c r="E8" s="1"/>
      <c r="F8" s="1"/>
      <c r="G8" s="1"/>
    </row>
    <row r="9" customFormat="false" ht="18" hidden="false" customHeight="true" outlineLevel="0" collapsed="false">
      <c r="A9" s="1"/>
      <c r="B9" s="2" t="s">
        <v>0</v>
      </c>
      <c r="C9" s="2"/>
      <c r="D9" s="2"/>
      <c r="E9" s="2"/>
      <c r="F9" s="2"/>
      <c r="G9" s="1"/>
    </row>
    <row r="10" customFormat="false" ht="27.75" hidden="false" customHeight="true" outlineLevel="0" collapsed="false">
      <c r="A10" s="1"/>
      <c r="B10" s="2"/>
      <c r="C10" s="2"/>
      <c r="D10" s="2"/>
      <c r="E10" s="2"/>
      <c r="F10" s="2"/>
      <c r="G10" s="1"/>
    </row>
    <row r="11" customFormat="false" ht="18" hidden="false" customHeight="true" outlineLevel="0" collapsed="false">
      <c r="A11" s="1"/>
      <c r="B11" s="2"/>
      <c r="C11" s="2"/>
      <c r="D11" s="2"/>
      <c r="E11" s="2"/>
      <c r="F11" s="2"/>
      <c r="G11" s="1"/>
    </row>
    <row r="12" customFormat="false" ht="18" hidden="false" customHeight="true" outlineLevel="0" collapsed="false">
      <c r="A12" s="1"/>
      <c r="B12" s="3" t="s">
        <v>1</v>
      </c>
      <c r="C12" s="3"/>
      <c r="D12" s="3"/>
      <c r="E12" s="3"/>
      <c r="F12" s="3"/>
      <c r="G12" s="1"/>
    </row>
    <row r="13" customFormat="false" ht="3.75" hidden="false" customHeight="true" outlineLevel="0" collapsed="false">
      <c r="A13" s="1"/>
      <c r="B13" s="4"/>
      <c r="C13" s="4"/>
      <c r="D13" s="4"/>
      <c r="E13" s="4"/>
      <c r="F13" s="4"/>
      <c r="G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</row>
    <row r="15" customFormat="false" ht="21.75" hidden="false" customHeight="true" outlineLevel="0" collapsed="false">
      <c r="A15" s="1"/>
      <c r="B15" s="5" t="s">
        <v>2</v>
      </c>
      <c r="C15" s="5"/>
      <c r="D15" s="5"/>
      <c r="E15" s="5"/>
      <c r="F15" s="5"/>
      <c r="G15" s="1"/>
    </row>
    <row r="16" customFormat="false" ht="31.5" hidden="false" customHeight="true" outlineLevel="0" collapsed="false">
      <c r="A16" s="1"/>
      <c r="B16" s="6" t="s">
        <v>3</v>
      </c>
      <c r="C16" s="6"/>
      <c r="D16" s="6"/>
      <c r="E16" s="6"/>
      <c r="F16" s="6"/>
      <c r="G16" s="1"/>
    </row>
    <row r="17" customFormat="false" ht="18" hidden="false" customHeight="true" outlineLevel="0" collapsed="false">
      <c r="A17" s="1"/>
      <c r="B17" s="6"/>
      <c r="C17" s="6"/>
      <c r="D17" s="6"/>
      <c r="E17" s="6"/>
      <c r="F17" s="6"/>
      <c r="G17" s="1"/>
    </row>
    <row r="18" customFormat="false" ht="9.75" hidden="false" customHeight="true" outlineLevel="0" collapsed="false">
      <c r="A18" s="1"/>
      <c r="B18" s="1"/>
      <c r="C18" s="1"/>
      <c r="D18" s="1"/>
      <c r="E18" s="1"/>
      <c r="F18" s="1"/>
      <c r="G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</row>
    <row r="20" customFormat="false" ht="18" hidden="false" customHeight="true" outlineLevel="0" collapsed="false">
      <c r="A20" s="1"/>
      <c r="B20" s="7" t="s">
        <v>4</v>
      </c>
      <c r="C20" s="7"/>
      <c r="D20" s="7"/>
      <c r="E20" s="7" t="s">
        <v>5</v>
      </c>
      <c r="F20" s="7"/>
      <c r="G20" s="1"/>
    </row>
    <row r="21" customFormat="false" ht="18" hidden="false" customHeight="true" outlineLevel="0" collapsed="false">
      <c r="A21" s="1"/>
      <c r="B21" s="7"/>
      <c r="C21" s="7"/>
      <c r="D21" s="7"/>
      <c r="E21" s="7"/>
      <c r="F21" s="7"/>
      <c r="G21" s="1"/>
    </row>
    <row r="22" customFormat="false" ht="18" hidden="false" customHeight="true" outlineLevel="0" collapsed="false">
      <c r="A22" s="1"/>
      <c r="B22" s="7"/>
      <c r="C22" s="7"/>
      <c r="D22" s="7"/>
      <c r="E22" s="7"/>
      <c r="F22" s="7"/>
      <c r="G22" s="1"/>
    </row>
    <row r="23" customFormat="false" ht="18" hidden="false" customHeight="true" outlineLevel="0" collapsed="false">
      <c r="A23" s="1"/>
      <c r="B23" s="7"/>
      <c r="C23" s="7"/>
      <c r="D23" s="7"/>
      <c r="E23" s="7"/>
      <c r="F23" s="7"/>
      <c r="G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</row>
    <row r="26" customFormat="false" ht="18" hidden="false" customHeight="true" outlineLevel="0" collapsed="false">
      <c r="A26" s="1"/>
      <c r="B26" s="8" t="s">
        <v>6</v>
      </c>
      <c r="C26" s="8"/>
      <c r="D26" s="8"/>
      <c r="E26" s="8"/>
      <c r="F26" s="8"/>
      <c r="G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</row>
    <row r="28" customFormat="false" ht="9.75" hidden="false" customHeight="true" outlineLevel="0" collapsed="false">
      <c r="A28" s="1"/>
      <c r="B28" s="1"/>
      <c r="C28" s="1"/>
      <c r="D28" s="1"/>
      <c r="E28" s="1"/>
      <c r="F28" s="1"/>
      <c r="G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</row>
    <row r="38" customFormat="false" ht="9.75" hidden="false" customHeight="true" outlineLevel="0" collapsed="false">
      <c r="A38" s="1"/>
      <c r="B38" s="1"/>
      <c r="C38" s="1"/>
      <c r="D38" s="1"/>
      <c r="E38" s="1"/>
      <c r="F38" s="1"/>
      <c r="G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</row>
    <row r="42" customFormat="false" ht="37.5" hidden="false" customHeight="true" outlineLevel="0" collapsed="false">
      <c r="A42" s="1"/>
      <c r="B42" s="9" t="s">
        <v>7</v>
      </c>
      <c r="C42" s="9"/>
      <c r="D42" s="9"/>
      <c r="E42" s="9"/>
      <c r="F42" s="9"/>
      <c r="G42" s="1"/>
    </row>
    <row r="43" customFormat="false" ht="18" hidden="false" customHeight="true" outlineLevel="0" collapsed="false">
      <c r="A43" s="1"/>
      <c r="B43" s="9"/>
      <c r="C43" s="9"/>
      <c r="D43" s="9"/>
      <c r="E43" s="9"/>
      <c r="F43" s="9"/>
      <c r="G43" s="1"/>
    </row>
    <row r="44" customFormat="false" ht="18" hidden="false" customHeight="true" outlineLevel="0" collapsed="false">
      <c r="A44" s="1"/>
      <c r="B44" s="9"/>
      <c r="C44" s="9"/>
      <c r="D44" s="9"/>
      <c r="E44" s="9"/>
      <c r="F44" s="9"/>
      <c r="G44" s="1"/>
    </row>
  </sheetData>
  <mergeCells count="8">
    <mergeCell ref="B9:F11"/>
    <mergeCell ref="B12:F12"/>
    <mergeCell ref="B15:F15"/>
    <mergeCell ref="B16:F17"/>
    <mergeCell ref="B20:D23"/>
    <mergeCell ref="E20:F23"/>
    <mergeCell ref="B26:F26"/>
    <mergeCell ref="B42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27.75" hidden="false" customHeight="true" outlineLevel="0" collapsed="false">
      <c r="A2" s="10" t="s">
        <v>8</v>
      </c>
      <c r="B2" s="10"/>
      <c r="C2" s="10"/>
      <c r="D2" s="10"/>
      <c r="E2" s="10"/>
    </row>
    <row r="3" customFormat="false" ht="15" hidden="false" customHeight="false" outlineLevel="0" collapsed="false">
      <c r="A3" s="10"/>
      <c r="B3" s="10"/>
      <c r="C3" s="10"/>
      <c r="D3" s="10"/>
      <c r="E3" s="10"/>
    </row>
    <row r="4" customFormat="false" ht="15" hidden="false" customHeight="false" outlineLevel="0" collapsed="false">
      <c r="A4" s="10"/>
      <c r="B4" s="10"/>
      <c r="C4" s="10"/>
      <c r="D4" s="10"/>
      <c r="E4" s="10"/>
    </row>
    <row r="5" customFormat="false" ht="3" hidden="false" customHeight="true" outlineLevel="0" collapsed="false">
      <c r="A5" s="4"/>
      <c r="B5" s="4"/>
      <c r="C5" s="4"/>
      <c r="D5" s="4"/>
      <c r="E5" s="4"/>
    </row>
    <row r="6" customFormat="false" ht="15" hidden="false" customHeight="false" outlineLevel="0" collapsed="false">
      <c r="A6" s="1"/>
      <c r="B6" s="1"/>
      <c r="C6" s="1"/>
      <c r="D6" s="1"/>
      <c r="E6" s="1"/>
    </row>
    <row r="7" customFormat="false" ht="21.75" hidden="false" customHeight="true" outlineLevel="0" collapsed="false">
      <c r="A7" s="11" t="s">
        <v>9</v>
      </c>
      <c r="B7" s="11"/>
      <c r="C7" s="11"/>
      <c r="D7" s="11"/>
      <c r="E7" s="11"/>
    </row>
    <row r="8" customFormat="false" ht="6" hidden="false" customHeight="true" outlineLevel="0" collapsed="false">
      <c r="A8" s="1"/>
      <c r="B8" s="1"/>
      <c r="C8" s="1"/>
      <c r="D8" s="1"/>
      <c r="E8" s="1"/>
    </row>
    <row r="9" customFormat="false" ht="21.75" hidden="false" customHeight="true" outlineLevel="0" collapsed="false">
      <c r="A9" s="1"/>
      <c r="B9" s="12" t="s">
        <v>10</v>
      </c>
      <c r="C9" s="13" t="n">
        <v>35</v>
      </c>
      <c r="D9" s="14" t="s">
        <v>11</v>
      </c>
      <c r="E9" s="1"/>
    </row>
    <row r="10" customFormat="false" ht="21.75" hidden="false" customHeight="true" outlineLevel="0" collapsed="false">
      <c r="A10" s="15"/>
      <c r="B10" s="16" t="s">
        <v>12</v>
      </c>
      <c r="C10" s="13" t="n">
        <v>65</v>
      </c>
      <c r="D10" s="17" t="s">
        <v>11</v>
      </c>
      <c r="E10" s="15"/>
    </row>
    <row r="11" customFormat="false" ht="15" hidden="false" customHeight="false" outlineLevel="0" collapsed="false">
      <c r="A11" s="1"/>
      <c r="B11" s="1"/>
      <c r="C11" s="1"/>
      <c r="D11" s="1"/>
      <c r="E11" s="1"/>
    </row>
    <row r="12" customFormat="false" ht="21.75" hidden="false" customHeight="true" outlineLevel="0" collapsed="false">
      <c r="A12" s="11" t="s">
        <v>13</v>
      </c>
      <c r="B12" s="11"/>
      <c r="C12" s="11"/>
      <c r="D12" s="11"/>
      <c r="E12" s="11"/>
    </row>
    <row r="13" customFormat="false" ht="6" hidden="false" customHeight="true" outlineLevel="0" collapsed="false">
      <c r="A13" s="1"/>
      <c r="B13" s="1"/>
      <c r="C13" s="1"/>
      <c r="D13" s="1"/>
      <c r="E13" s="1"/>
    </row>
    <row r="14" customFormat="false" ht="21.75" hidden="false" customHeight="true" outlineLevel="0" collapsed="false">
      <c r="A14" s="15"/>
      <c r="B14" s="16" t="s">
        <v>14</v>
      </c>
      <c r="C14" s="18" t="n">
        <v>30000</v>
      </c>
      <c r="D14" s="17" t="s">
        <v>15</v>
      </c>
      <c r="E14" s="15"/>
    </row>
    <row r="15" customFormat="false" ht="21.75" hidden="false" customHeight="true" outlineLevel="0" collapsed="false">
      <c r="A15" s="1"/>
      <c r="B15" s="12" t="s">
        <v>16</v>
      </c>
      <c r="C15" s="18" t="n">
        <v>25000</v>
      </c>
      <c r="D15" s="14" t="s">
        <v>15</v>
      </c>
      <c r="E15" s="1"/>
    </row>
    <row r="16" customFormat="false" ht="21.75" hidden="false" customHeight="true" outlineLevel="0" collapsed="false">
      <c r="A16" s="15"/>
      <c r="B16" s="16" t="s">
        <v>17</v>
      </c>
      <c r="C16" s="18" t="n">
        <v>4000</v>
      </c>
      <c r="D16" s="17" t="s">
        <v>15</v>
      </c>
      <c r="E16" s="19" t="s">
        <v>18</v>
      </c>
    </row>
    <row r="17" customFormat="false" ht="21.75" hidden="false" customHeight="true" outlineLevel="0" collapsed="false">
      <c r="A17" s="1"/>
      <c r="B17" s="12" t="s">
        <v>19</v>
      </c>
      <c r="C17" s="18" t="n">
        <v>0</v>
      </c>
      <c r="D17" s="14" t="s">
        <v>20</v>
      </c>
      <c r="E17" s="20" t="s">
        <v>21</v>
      </c>
    </row>
    <row r="18" customFormat="false" ht="15" hidden="false" customHeight="false" outlineLevel="0" collapsed="false">
      <c r="A18" s="1"/>
      <c r="B18" s="1"/>
      <c r="C18" s="1"/>
      <c r="D18" s="1"/>
      <c r="E18" s="1"/>
    </row>
    <row r="19" customFormat="false" ht="21.75" hidden="false" customHeight="true" outlineLevel="0" collapsed="false">
      <c r="A19" s="11" t="s">
        <v>22</v>
      </c>
      <c r="B19" s="11"/>
      <c r="C19" s="11"/>
      <c r="D19" s="11"/>
      <c r="E19" s="11"/>
    </row>
    <row r="20" customFormat="false" ht="6" hidden="false" customHeight="true" outlineLevel="0" collapsed="false">
      <c r="A20" s="1"/>
      <c r="B20" s="1"/>
      <c r="C20" s="1"/>
      <c r="D20" s="1"/>
      <c r="E20" s="1"/>
    </row>
    <row r="21" customFormat="false" ht="21.75" hidden="false" customHeight="true" outlineLevel="0" collapsed="false">
      <c r="A21" s="1"/>
      <c r="B21" s="12" t="s">
        <v>23</v>
      </c>
      <c r="C21" s="21" t="n">
        <v>0.045</v>
      </c>
      <c r="D21" s="14" t="s">
        <v>24</v>
      </c>
      <c r="E21" s="1"/>
    </row>
    <row r="22" customFormat="false" ht="21.75" hidden="false" customHeight="true" outlineLevel="0" collapsed="false">
      <c r="A22" s="15"/>
      <c r="B22" s="16" t="s">
        <v>25</v>
      </c>
      <c r="C22" s="21" t="n">
        <v>0.06</v>
      </c>
      <c r="D22" s="17" t="s">
        <v>24</v>
      </c>
      <c r="E22" s="15"/>
    </row>
    <row r="23" customFormat="false" ht="15" hidden="false" customHeight="false" outlineLevel="0" collapsed="false">
      <c r="A23" s="1"/>
      <c r="B23" s="1"/>
      <c r="C23" s="1"/>
      <c r="D23" s="1"/>
      <c r="E23" s="1"/>
    </row>
    <row r="24" customFormat="false" ht="21.75" hidden="false" customHeight="true" outlineLevel="0" collapsed="false">
      <c r="A24" s="11" t="s">
        <v>26</v>
      </c>
      <c r="B24" s="11"/>
      <c r="C24" s="11"/>
      <c r="D24" s="11"/>
      <c r="E24" s="11"/>
    </row>
    <row r="25" customFormat="false" ht="6" hidden="false" customHeight="true" outlineLevel="0" collapsed="false">
      <c r="A25" s="1"/>
      <c r="B25" s="1"/>
      <c r="C25" s="1"/>
      <c r="D25" s="1"/>
      <c r="E25" s="1"/>
    </row>
    <row r="26" customFormat="false" ht="21.75" hidden="false" customHeight="true" outlineLevel="0" collapsed="false">
      <c r="A26" s="15"/>
      <c r="B26" s="16" t="s">
        <v>27</v>
      </c>
      <c r="C26" s="22" t="n">
        <f aca="false">C10-C9</f>
        <v>30</v>
      </c>
      <c r="D26" s="15"/>
      <c r="E26" s="15"/>
    </row>
    <row r="27" customFormat="false" ht="21.75" hidden="false" customHeight="true" outlineLevel="0" collapsed="false">
      <c r="A27" s="1"/>
      <c r="B27" s="12" t="s">
        <v>28</v>
      </c>
      <c r="C27" s="23" t="n">
        <f aca="false">C15*(1+C21)^(C10-C9)</f>
        <v>93632.9533634215</v>
      </c>
      <c r="D27" s="1"/>
      <c r="E27" s="1"/>
    </row>
    <row r="28" customFormat="false" ht="21.75" hidden="false" customHeight="true" outlineLevel="0" collapsed="false">
      <c r="A28" s="15"/>
      <c r="B28" s="16" t="s">
        <v>29</v>
      </c>
      <c r="C28" s="24" t="n">
        <f aca="false">C27*12</f>
        <v>1123595.44036106</v>
      </c>
      <c r="D28" s="15"/>
      <c r="E28" s="15"/>
    </row>
    <row r="29" customFormat="false" ht="21.75" hidden="false" customHeight="true" outlineLevel="0" collapsed="false">
      <c r="A29" s="1"/>
      <c r="B29" s="12" t="s">
        <v>30</v>
      </c>
      <c r="C29" s="25" t="n">
        <f aca="false">C28/C22</f>
        <v>18726590.6726843</v>
      </c>
      <c r="D29" s="1"/>
      <c r="E29" s="1"/>
    </row>
    <row r="30" customFormat="false" ht="21.75" hidden="false" customHeight="true" outlineLevel="0" collapsed="false">
      <c r="A30" s="15"/>
      <c r="B30" s="16" t="s">
        <v>31</v>
      </c>
      <c r="C30" s="26" t="n">
        <f aca="false">C29-C17</f>
        <v>18726590.6726843</v>
      </c>
      <c r="D30" s="15"/>
      <c r="E30" s="15"/>
    </row>
    <row r="31" customFormat="false" ht="15" hidden="false" customHeight="false" outlineLevel="0" collapsed="false">
      <c r="A31" s="1"/>
      <c r="B31" s="1"/>
      <c r="C31" s="1"/>
      <c r="D31" s="1"/>
      <c r="E31" s="1"/>
    </row>
    <row r="32" customFormat="false" ht="27.75" hidden="false" customHeight="true" outlineLevel="0" collapsed="false">
      <c r="A32" s="1"/>
      <c r="B32" s="27" t="s">
        <v>32</v>
      </c>
      <c r="C32" s="27"/>
      <c r="D32" s="27"/>
      <c r="E32" s="1"/>
    </row>
    <row r="33" customFormat="false" ht="15" hidden="false" customHeight="false" outlineLevel="0" collapsed="false">
      <c r="A33" s="1"/>
      <c r="B33" s="1"/>
      <c r="C33" s="1"/>
      <c r="D33" s="1"/>
      <c r="E33" s="1"/>
    </row>
    <row r="34" customFormat="false" ht="15" hidden="false" customHeight="false" outlineLevel="0" collapsed="false">
      <c r="A34" s="1"/>
      <c r="B34" s="1"/>
      <c r="C34" s="1"/>
      <c r="D34" s="1"/>
      <c r="E34" s="1"/>
    </row>
    <row r="35" customFormat="false" ht="15" hidden="false" customHeight="false" outlineLevel="0" collapsed="false">
      <c r="A35" s="1"/>
      <c r="B35" s="1"/>
      <c r="C35" s="1"/>
      <c r="D35" s="1"/>
      <c r="E35" s="1"/>
    </row>
    <row r="36" customFormat="false" ht="15" hidden="false" customHeight="false" outlineLevel="0" collapsed="false">
      <c r="A36" s="1"/>
      <c r="B36" s="1"/>
      <c r="C36" s="1"/>
      <c r="D36" s="1"/>
      <c r="E36" s="1"/>
    </row>
    <row r="37" customFormat="false" ht="15" hidden="false" customHeight="false" outlineLevel="0" collapsed="false">
      <c r="A37" s="1"/>
      <c r="B37" s="1"/>
      <c r="C37" s="1"/>
      <c r="D37" s="1"/>
      <c r="E37" s="1"/>
    </row>
    <row r="38" customFormat="false" ht="15" hidden="false" customHeight="false" outlineLevel="0" collapsed="false">
      <c r="A38" s="1"/>
      <c r="B38" s="1"/>
      <c r="C38" s="1"/>
      <c r="D38" s="1"/>
      <c r="E38" s="1"/>
    </row>
    <row r="39" customFormat="false" ht="15" hidden="false" customHeight="false" outlineLevel="0" collapsed="false">
      <c r="A39" s="1"/>
      <c r="B39" s="1"/>
      <c r="C39" s="1"/>
      <c r="D39" s="1"/>
      <c r="E39" s="1"/>
    </row>
    <row r="40" customFormat="false" ht="15" hidden="false" customHeight="false" outlineLevel="0" collapsed="false">
      <c r="A40" s="1"/>
      <c r="B40" s="1"/>
      <c r="C40" s="1"/>
      <c r="D40" s="1"/>
      <c r="E40" s="1"/>
    </row>
    <row r="41" customFormat="false" ht="15" hidden="false" customHeight="false" outlineLevel="0" collapsed="false">
      <c r="A41" s="1"/>
      <c r="B41" s="1"/>
      <c r="C41" s="1"/>
      <c r="D41" s="1"/>
      <c r="E41" s="1"/>
    </row>
    <row r="42" customFormat="false" ht="15" hidden="false" customHeight="false" outlineLevel="0" collapsed="false">
      <c r="A42" s="1"/>
      <c r="B42" s="1"/>
      <c r="C42" s="1"/>
      <c r="D42" s="1"/>
      <c r="E42" s="1"/>
    </row>
    <row r="43" customFormat="false" ht="15" hidden="false" customHeight="false" outlineLevel="0" collapsed="false">
      <c r="A43" s="1"/>
      <c r="B43" s="1"/>
      <c r="C43" s="1"/>
      <c r="D43" s="1"/>
      <c r="E43" s="1"/>
    </row>
    <row r="44" customFormat="false" ht="15" hidden="false" customHeight="false" outlineLevel="0" collapsed="false">
      <c r="A44" s="1"/>
      <c r="B44" s="1"/>
      <c r="C44" s="1"/>
      <c r="D44" s="1"/>
      <c r="E44" s="1"/>
    </row>
    <row r="45" customFormat="false" ht="15" hidden="false" customHeight="false" outlineLevel="0" collapsed="false">
      <c r="A45" s="1"/>
      <c r="B45" s="1"/>
      <c r="C45" s="1"/>
      <c r="D45" s="1"/>
      <c r="E45" s="1"/>
    </row>
    <row r="46" customFormat="false" ht="15" hidden="false" customHeight="false" outlineLevel="0" collapsed="false">
      <c r="A46" s="1"/>
      <c r="B46" s="1"/>
      <c r="C46" s="1"/>
      <c r="D46" s="1"/>
      <c r="E46" s="1"/>
    </row>
    <row r="47" customFormat="false" ht="15" hidden="false" customHeight="false" outlineLevel="0" collapsed="false">
      <c r="A47" s="1"/>
      <c r="B47" s="1"/>
      <c r="C47" s="1"/>
      <c r="D47" s="1"/>
      <c r="E47" s="1"/>
    </row>
    <row r="48" customFormat="false" ht="15" hidden="false" customHeight="false" outlineLevel="0" collapsed="false">
      <c r="A48" s="1"/>
      <c r="B48" s="1"/>
      <c r="C48" s="1"/>
      <c r="D48" s="1"/>
      <c r="E48" s="1"/>
    </row>
    <row r="49" customFormat="false" ht="15" hidden="false" customHeight="false" outlineLevel="0" collapsed="false">
      <c r="A49" s="1"/>
      <c r="B49" s="1"/>
      <c r="C49" s="1"/>
      <c r="D49" s="1"/>
      <c r="E49" s="1"/>
    </row>
    <row r="50" customFormat="false" ht="15" hidden="false" customHeight="false" outlineLevel="0" collapsed="false">
      <c r="A50" s="1"/>
      <c r="B50" s="1"/>
      <c r="C50" s="1"/>
      <c r="D50" s="1"/>
      <c r="E50" s="1"/>
    </row>
  </sheetData>
  <mergeCells count="6">
    <mergeCell ref="A2:E4"/>
    <mergeCell ref="A7:E7"/>
    <mergeCell ref="A12:E12"/>
    <mergeCell ref="A19:E19"/>
    <mergeCell ref="A24:E24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10" t="s">
        <v>33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</row>
    <row r="5" customFormat="false" ht="3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27.75" hidden="false" customHeight="true" outlineLevel="0" collapsed="false">
      <c r="A7" s="1"/>
      <c r="B7" s="28" t="s">
        <v>34</v>
      </c>
      <c r="C7" s="28" t="s">
        <v>35</v>
      </c>
      <c r="D7" s="28" t="s">
        <v>36</v>
      </c>
      <c r="E7" s="28" t="s">
        <v>37</v>
      </c>
      <c r="F7" s="28" t="s">
        <v>38</v>
      </c>
      <c r="G7" s="28" t="s">
        <v>39</v>
      </c>
    </row>
    <row r="8" customFormat="false" ht="18" hidden="false" customHeight="true" outlineLevel="0" collapsed="false">
      <c r="A8" s="15"/>
      <c r="B8" s="29" t="n">
        <v>0</v>
      </c>
      <c r="C8" s="29" t="n">
        <f aca="false">'Mis Datos'!C9+0</f>
        <v>35</v>
      </c>
      <c r="D8" s="30" t="n">
        <f aca="false">'Mis Datos'!C17</f>
        <v>0</v>
      </c>
      <c r="E8" s="31" t="n">
        <f aca="false">'Mis Datos'!C17</f>
        <v>0</v>
      </c>
      <c r="F8" s="32" t="n">
        <f aca="false">'Mis Datos'!C29</f>
        <v>18726590.6726843</v>
      </c>
      <c r="G8" s="33" t="n">
        <f aca="false">D8-F8</f>
        <v>-18726590.6726843</v>
      </c>
    </row>
    <row r="9" customFormat="false" ht="18" hidden="false" customHeight="true" outlineLevel="0" collapsed="false">
      <c r="A9" s="1"/>
      <c r="B9" s="34" t="n">
        <v>1</v>
      </c>
      <c r="C9" s="34" t="n">
        <f aca="false">'Mis Datos'!C9+1</f>
        <v>36</v>
      </c>
      <c r="D9" s="35" t="n">
        <f aca="false">D8*(1+'Mis Datos'!C22)+'Mis Datos'!C16*12</f>
        <v>48000</v>
      </c>
      <c r="E9" s="36" t="n">
        <f aca="false">E8*(1+0.08)+'Mis Datos'!C16*12*1.5</f>
        <v>72000</v>
      </c>
      <c r="F9" s="37" t="n">
        <f aca="false">'Mis Datos'!C29</f>
        <v>18726590.6726843</v>
      </c>
      <c r="G9" s="38" t="n">
        <f aca="false">D9-F9</f>
        <v>-18678590.6726843</v>
      </c>
    </row>
    <row r="10" customFormat="false" ht="18" hidden="false" customHeight="true" outlineLevel="0" collapsed="false">
      <c r="A10" s="15"/>
      <c r="B10" s="29" t="n">
        <v>2</v>
      </c>
      <c r="C10" s="29" t="n">
        <f aca="false">'Mis Datos'!C9+2</f>
        <v>37</v>
      </c>
      <c r="D10" s="30" t="n">
        <f aca="false">D9*(1+'Mis Datos'!C22)+'Mis Datos'!C16*12</f>
        <v>98880</v>
      </c>
      <c r="E10" s="31" t="n">
        <f aca="false">E9*(1+0.08)+'Mis Datos'!C16*12*1.5</f>
        <v>149760</v>
      </c>
      <c r="F10" s="32" t="n">
        <f aca="false">'Mis Datos'!C29</f>
        <v>18726590.6726843</v>
      </c>
      <c r="G10" s="33" t="n">
        <f aca="false">D10-F10</f>
        <v>-18627710.6726843</v>
      </c>
    </row>
    <row r="11" customFormat="false" ht="18" hidden="false" customHeight="true" outlineLevel="0" collapsed="false">
      <c r="A11" s="1"/>
      <c r="B11" s="34" t="n">
        <v>3</v>
      </c>
      <c r="C11" s="34" t="n">
        <f aca="false">'Mis Datos'!C9+3</f>
        <v>38</v>
      </c>
      <c r="D11" s="35" t="n">
        <f aca="false">D10*(1+'Mis Datos'!C22)+'Mis Datos'!C16*12</f>
        <v>152812.8</v>
      </c>
      <c r="E11" s="36" t="n">
        <f aca="false">E10*(1+0.08)+'Mis Datos'!C16*12*1.5</f>
        <v>233740.8</v>
      </c>
      <c r="F11" s="37" t="n">
        <f aca="false">'Mis Datos'!C29</f>
        <v>18726590.6726843</v>
      </c>
      <c r="G11" s="38" t="n">
        <f aca="false">D11-F11</f>
        <v>-18573777.8726843</v>
      </c>
    </row>
    <row r="12" customFormat="false" ht="18" hidden="false" customHeight="true" outlineLevel="0" collapsed="false">
      <c r="A12" s="15"/>
      <c r="B12" s="29" t="n">
        <v>4</v>
      </c>
      <c r="C12" s="29" t="n">
        <f aca="false">'Mis Datos'!C9+4</f>
        <v>39</v>
      </c>
      <c r="D12" s="30" t="n">
        <f aca="false">D11*(1+'Mis Datos'!C22)+'Mis Datos'!C16*12</f>
        <v>209981.568</v>
      </c>
      <c r="E12" s="31" t="n">
        <f aca="false">E11*(1+0.08)+'Mis Datos'!C16*12*1.5</f>
        <v>324440.064</v>
      </c>
      <c r="F12" s="32" t="n">
        <f aca="false">'Mis Datos'!C29</f>
        <v>18726590.6726843</v>
      </c>
      <c r="G12" s="33" t="n">
        <f aca="false">D12-F12</f>
        <v>-18516609.1046843</v>
      </c>
    </row>
    <row r="13" customFormat="false" ht="18" hidden="false" customHeight="true" outlineLevel="0" collapsed="false">
      <c r="A13" s="1"/>
      <c r="B13" s="34" t="n">
        <v>5</v>
      </c>
      <c r="C13" s="34" t="n">
        <f aca="false">'Mis Datos'!C9+5</f>
        <v>40</v>
      </c>
      <c r="D13" s="35" t="n">
        <f aca="false">D12*(1+'Mis Datos'!C22)+'Mis Datos'!C16*12</f>
        <v>270580.46208</v>
      </c>
      <c r="E13" s="36" t="n">
        <f aca="false">E12*(1+0.08)+'Mis Datos'!C16*12*1.5</f>
        <v>422395.26912</v>
      </c>
      <c r="F13" s="37" t="n">
        <f aca="false">'Mis Datos'!C29</f>
        <v>18726590.6726843</v>
      </c>
      <c r="G13" s="38" t="n">
        <f aca="false">D13-F13</f>
        <v>-18456010.2106043</v>
      </c>
    </row>
    <row r="14" customFormat="false" ht="18" hidden="false" customHeight="true" outlineLevel="0" collapsed="false">
      <c r="A14" s="15"/>
      <c r="B14" s="29" t="n">
        <v>6</v>
      </c>
      <c r="C14" s="29" t="n">
        <f aca="false">'Mis Datos'!C9+6</f>
        <v>41</v>
      </c>
      <c r="D14" s="30" t="n">
        <f aca="false">D13*(1+'Mis Datos'!C22)+'Mis Datos'!C16*12</f>
        <v>334815.2898048</v>
      </c>
      <c r="E14" s="31" t="n">
        <f aca="false">E13*(1+0.08)+'Mis Datos'!C16*12*1.5</f>
        <v>528186.8906496</v>
      </c>
      <c r="F14" s="32" t="n">
        <f aca="false">'Mis Datos'!C29</f>
        <v>18726590.6726843</v>
      </c>
      <c r="G14" s="33" t="n">
        <f aca="false">D14-F14</f>
        <v>-18391775.3828795</v>
      </c>
    </row>
    <row r="15" customFormat="false" ht="18" hidden="false" customHeight="true" outlineLevel="0" collapsed="false">
      <c r="A15" s="1"/>
      <c r="B15" s="34" t="n">
        <v>7</v>
      </c>
      <c r="C15" s="34" t="n">
        <f aca="false">'Mis Datos'!C9+7</f>
        <v>42</v>
      </c>
      <c r="D15" s="35" t="n">
        <f aca="false">D14*(1+'Mis Datos'!C22)+'Mis Datos'!C16*12</f>
        <v>402904.207193088</v>
      </c>
      <c r="E15" s="36" t="n">
        <f aca="false">E14*(1+0.08)+'Mis Datos'!C16*12*1.5</f>
        <v>642441.841901568</v>
      </c>
      <c r="F15" s="37" t="n">
        <f aca="false">'Mis Datos'!C29</f>
        <v>18726590.6726843</v>
      </c>
      <c r="G15" s="38" t="n">
        <f aca="false">D15-F15</f>
        <v>-18323686.4654912</v>
      </c>
    </row>
    <row r="16" customFormat="false" ht="18" hidden="false" customHeight="true" outlineLevel="0" collapsed="false">
      <c r="A16" s="15"/>
      <c r="B16" s="29" t="n">
        <v>8</v>
      </c>
      <c r="C16" s="29" t="n">
        <f aca="false">'Mis Datos'!C9+8</f>
        <v>43</v>
      </c>
      <c r="D16" s="30" t="n">
        <f aca="false">D15*(1+'Mis Datos'!C22)+'Mis Datos'!C16*12</f>
        <v>475078.459624673</v>
      </c>
      <c r="E16" s="31" t="n">
        <f aca="false">E15*(1+0.08)+'Mis Datos'!C16*12*1.5</f>
        <v>765837.189253694</v>
      </c>
      <c r="F16" s="32" t="n">
        <f aca="false">'Mis Datos'!C29</f>
        <v>18726590.6726843</v>
      </c>
      <c r="G16" s="33" t="n">
        <f aca="false">D16-F16</f>
        <v>-18251512.2130596</v>
      </c>
    </row>
    <row r="17" customFormat="false" ht="18" hidden="false" customHeight="true" outlineLevel="0" collapsed="false">
      <c r="A17" s="1"/>
      <c r="B17" s="34" t="n">
        <v>9</v>
      </c>
      <c r="C17" s="34" t="n">
        <f aca="false">'Mis Datos'!C9+9</f>
        <v>44</v>
      </c>
      <c r="D17" s="35" t="n">
        <f aca="false">D16*(1+'Mis Datos'!C22)+'Mis Datos'!C16*12</f>
        <v>551583.167202154</v>
      </c>
      <c r="E17" s="36" t="n">
        <f aca="false">E16*(1+0.08)+'Mis Datos'!C16*12*1.5</f>
        <v>899104.164393989</v>
      </c>
      <c r="F17" s="37" t="n">
        <f aca="false">'Mis Datos'!C29</f>
        <v>18726590.6726843</v>
      </c>
      <c r="G17" s="38" t="n">
        <f aca="false">D17-F17</f>
        <v>-18175007.5054822</v>
      </c>
    </row>
    <row r="18" customFormat="false" ht="18" hidden="false" customHeight="true" outlineLevel="0" collapsed="false">
      <c r="A18" s="15"/>
      <c r="B18" s="29" t="n">
        <v>10</v>
      </c>
      <c r="C18" s="29" t="n">
        <f aca="false">'Mis Datos'!C9+10</f>
        <v>45</v>
      </c>
      <c r="D18" s="30" t="n">
        <f aca="false">D17*(1+'Mis Datos'!C22)+'Mis Datos'!C16*12</f>
        <v>632678.157234283</v>
      </c>
      <c r="E18" s="31" t="n">
        <f aca="false">E17*(1+0.08)+'Mis Datos'!C16*12*1.5</f>
        <v>1043032.49754551</v>
      </c>
      <c r="F18" s="32" t="n">
        <f aca="false">'Mis Datos'!C29</f>
        <v>18726590.6726843</v>
      </c>
      <c r="G18" s="33" t="n">
        <f aca="false">D18-F18</f>
        <v>-18093912.51545</v>
      </c>
    </row>
    <row r="19" customFormat="false" ht="18" hidden="false" customHeight="true" outlineLevel="0" collapsed="false">
      <c r="A19" s="1"/>
      <c r="B19" s="34" t="n">
        <v>11</v>
      </c>
      <c r="C19" s="34" t="n">
        <f aca="false">'Mis Datos'!C9+11</f>
        <v>46</v>
      </c>
      <c r="D19" s="35" t="n">
        <f aca="false">D18*(1+'Mis Datos'!C22)+'Mis Datos'!C16*12</f>
        <v>718638.84666834</v>
      </c>
      <c r="E19" s="36" t="n">
        <f aca="false">E18*(1+0.08)+'Mis Datos'!C16*12*1.5</f>
        <v>1198475.09734915</v>
      </c>
      <c r="F19" s="37" t="n">
        <f aca="false">'Mis Datos'!C29</f>
        <v>18726590.6726843</v>
      </c>
      <c r="G19" s="38" t="n">
        <f aca="false">D19-F19</f>
        <v>-18007951.826016</v>
      </c>
    </row>
    <row r="20" customFormat="false" ht="18" hidden="false" customHeight="true" outlineLevel="0" collapsed="false">
      <c r="A20" s="15"/>
      <c r="B20" s="29" t="n">
        <v>12</v>
      </c>
      <c r="C20" s="29" t="n">
        <f aca="false">'Mis Datos'!C9+12</f>
        <v>47</v>
      </c>
      <c r="D20" s="30" t="n">
        <f aca="false">D19*(1+'Mis Datos'!C22)+'Mis Datos'!C16*12</f>
        <v>809757.17746844</v>
      </c>
      <c r="E20" s="31" t="n">
        <f aca="false">E19*(1+0.08)+'Mis Datos'!C16*12*1.5</f>
        <v>1366353.10513708</v>
      </c>
      <c r="F20" s="32" t="n">
        <f aca="false">'Mis Datos'!C29</f>
        <v>18726590.6726843</v>
      </c>
      <c r="G20" s="33" t="n">
        <f aca="false">D20-F20</f>
        <v>-17916833.4952159</v>
      </c>
    </row>
    <row r="21" customFormat="false" ht="18" hidden="false" customHeight="true" outlineLevel="0" collapsed="false">
      <c r="A21" s="1"/>
      <c r="B21" s="34" t="n">
        <v>13</v>
      </c>
      <c r="C21" s="34" t="n">
        <f aca="false">'Mis Datos'!C9+13</f>
        <v>48</v>
      </c>
      <c r="D21" s="35" t="n">
        <f aca="false">D20*(1+'Mis Datos'!C22)+'Mis Datos'!C16*12</f>
        <v>906342.608116547</v>
      </c>
      <c r="E21" s="36" t="n">
        <f aca="false">E20*(1+0.08)+'Mis Datos'!C16*12*1.5</f>
        <v>1547661.35354805</v>
      </c>
      <c r="F21" s="37" t="n">
        <f aca="false">'Mis Datos'!C29</f>
        <v>18726590.6726843</v>
      </c>
      <c r="G21" s="38" t="n">
        <f aca="false">D21-F21</f>
        <v>-17820248.0645678</v>
      </c>
    </row>
    <row r="22" customFormat="false" ht="18" hidden="false" customHeight="true" outlineLevel="0" collapsed="false">
      <c r="A22" s="15"/>
      <c r="B22" s="29" t="n">
        <v>14</v>
      </c>
      <c r="C22" s="29" t="n">
        <f aca="false">'Mis Datos'!C9+14</f>
        <v>49</v>
      </c>
      <c r="D22" s="30" t="n">
        <f aca="false">D21*(1+'Mis Datos'!C22)+'Mis Datos'!C16*12</f>
        <v>1008723.16460354</v>
      </c>
      <c r="E22" s="31" t="n">
        <f aca="false">E21*(1+0.08)+'Mis Datos'!C16*12*1.5</f>
        <v>1743474.26183189</v>
      </c>
      <c r="F22" s="32" t="n">
        <f aca="false">'Mis Datos'!C29</f>
        <v>18726590.6726843</v>
      </c>
      <c r="G22" s="33" t="n">
        <f aca="false">D22-F22</f>
        <v>-17717867.5080808</v>
      </c>
    </row>
    <row r="23" customFormat="false" ht="18" hidden="false" customHeight="true" outlineLevel="0" collapsed="false">
      <c r="A23" s="1"/>
      <c r="B23" s="34" t="n">
        <v>15</v>
      </c>
      <c r="C23" s="34" t="n">
        <f aca="false">'Mis Datos'!C9+15</f>
        <v>50</v>
      </c>
      <c r="D23" s="35" t="n">
        <f aca="false">D22*(1+'Mis Datos'!C22)+'Mis Datos'!C16*12</f>
        <v>1117246.55447975</v>
      </c>
      <c r="E23" s="36" t="n">
        <f aca="false">E22*(1+0.08)+'Mis Datos'!C16*12*1.5</f>
        <v>1954952.20277844</v>
      </c>
      <c r="F23" s="37" t="n">
        <f aca="false">'Mis Datos'!C29</f>
        <v>18726590.6726843</v>
      </c>
      <c r="G23" s="38" t="n">
        <f aca="false">D23-F23</f>
        <v>-17609344.1182046</v>
      </c>
    </row>
    <row r="24" customFormat="false" ht="18" hidden="false" customHeight="true" outlineLevel="0" collapsed="false">
      <c r="A24" s="15"/>
      <c r="B24" s="29" t="n">
        <v>16</v>
      </c>
      <c r="C24" s="29" t="n">
        <f aca="false">'Mis Datos'!C9+16</f>
        <v>51</v>
      </c>
      <c r="D24" s="30" t="n">
        <f aca="false">D23*(1+'Mis Datos'!C22)+'Mis Datos'!C16*12</f>
        <v>1232281.34774854</v>
      </c>
      <c r="E24" s="31" t="n">
        <f aca="false">E23*(1+0.08)+'Mis Datos'!C16*12*1.5</f>
        <v>2183348.37900072</v>
      </c>
      <c r="F24" s="32" t="n">
        <f aca="false">'Mis Datos'!C29</f>
        <v>18726590.6726843</v>
      </c>
      <c r="G24" s="33" t="n">
        <f aca="false">D24-F24</f>
        <v>-17494309.3249358</v>
      </c>
    </row>
    <row r="25" customFormat="false" ht="18" hidden="false" customHeight="true" outlineLevel="0" collapsed="false">
      <c r="A25" s="1"/>
      <c r="B25" s="34" t="n">
        <v>17</v>
      </c>
      <c r="C25" s="34" t="n">
        <f aca="false">'Mis Datos'!C9+17</f>
        <v>52</v>
      </c>
      <c r="D25" s="35" t="n">
        <f aca="false">D24*(1+'Mis Datos'!C22)+'Mis Datos'!C16*12</f>
        <v>1354218.22861345</v>
      </c>
      <c r="E25" s="36" t="n">
        <f aca="false">E24*(1+0.08)+'Mis Datos'!C16*12*1.5</f>
        <v>2430016.24932078</v>
      </c>
      <c r="F25" s="37" t="n">
        <f aca="false">'Mis Datos'!C29</f>
        <v>18726590.6726843</v>
      </c>
      <c r="G25" s="38" t="n">
        <f aca="false">D25-F25</f>
        <v>-17372372.4440709</v>
      </c>
    </row>
    <row r="26" customFormat="false" ht="18" hidden="false" customHeight="true" outlineLevel="0" collapsed="false">
      <c r="A26" s="15"/>
      <c r="B26" s="29" t="n">
        <v>18</v>
      </c>
      <c r="C26" s="29" t="n">
        <f aca="false">'Mis Datos'!C9+18</f>
        <v>53</v>
      </c>
      <c r="D26" s="30" t="n">
        <f aca="false">D25*(1+'Mis Datos'!C22)+'Mis Datos'!C16*12</f>
        <v>1483471.32233026</v>
      </c>
      <c r="E26" s="31" t="n">
        <f aca="false">E25*(1+0.08)+'Mis Datos'!C16*12*1.5</f>
        <v>2696417.54926644</v>
      </c>
      <c r="F26" s="32" t="n">
        <f aca="false">'Mis Datos'!C29</f>
        <v>18726590.6726843</v>
      </c>
      <c r="G26" s="33" t="n">
        <f aca="false">D26-F26</f>
        <v>-17243119.3503541</v>
      </c>
    </row>
    <row r="27" customFormat="false" ht="18" hidden="false" customHeight="true" outlineLevel="0" collapsed="false">
      <c r="A27" s="1"/>
      <c r="B27" s="34" t="n">
        <v>19</v>
      </c>
      <c r="C27" s="34" t="n">
        <f aca="false">'Mis Datos'!C9+19</f>
        <v>54</v>
      </c>
      <c r="D27" s="35" t="n">
        <f aca="false">D26*(1+'Mis Datos'!C22)+'Mis Datos'!C16*12</f>
        <v>1620479.60167007</v>
      </c>
      <c r="E27" s="36" t="n">
        <f aca="false">E26*(1+0.08)+'Mis Datos'!C16*12*1.5</f>
        <v>2984130.95320775</v>
      </c>
      <c r="F27" s="37" t="n">
        <f aca="false">'Mis Datos'!C29</f>
        <v>18726590.6726843</v>
      </c>
      <c r="G27" s="38" t="n">
        <f aca="false">D27-F27</f>
        <v>-17106111.0710142</v>
      </c>
    </row>
    <row r="28" customFormat="false" ht="18" hidden="false" customHeight="true" outlineLevel="0" collapsed="false">
      <c r="A28" s="15"/>
      <c r="B28" s="29" t="n">
        <v>20</v>
      </c>
      <c r="C28" s="29" t="n">
        <f aca="false">'Mis Datos'!C9+20</f>
        <v>55</v>
      </c>
      <c r="D28" s="30" t="n">
        <f aca="false">D27*(1+'Mis Datos'!C22)+'Mis Datos'!C16*12</f>
        <v>1765708.37777028</v>
      </c>
      <c r="E28" s="31" t="n">
        <f aca="false">E27*(1+0.08)+'Mis Datos'!C16*12*1.5</f>
        <v>3294861.42946437</v>
      </c>
      <c r="F28" s="32" t="n">
        <f aca="false">'Mis Datos'!C29</f>
        <v>18726590.6726843</v>
      </c>
      <c r="G28" s="33" t="n">
        <f aca="false">D28-F28</f>
        <v>-16960882.294914</v>
      </c>
    </row>
    <row r="29" customFormat="false" ht="18" hidden="false" customHeight="true" outlineLevel="0" collapsed="false">
      <c r="A29" s="1"/>
      <c r="B29" s="34" t="n">
        <v>21</v>
      </c>
      <c r="C29" s="34" t="n">
        <f aca="false">'Mis Datos'!C9+21</f>
        <v>56</v>
      </c>
      <c r="D29" s="35" t="n">
        <f aca="false">D28*(1+'Mis Datos'!C22)+'Mis Datos'!C16*12</f>
        <v>1919650.88043649</v>
      </c>
      <c r="E29" s="36" t="n">
        <f aca="false">E28*(1+0.08)+'Mis Datos'!C16*12*1.5</f>
        <v>3630450.34382152</v>
      </c>
      <c r="F29" s="37" t="n">
        <f aca="false">'Mis Datos'!C29</f>
        <v>18726590.6726843</v>
      </c>
      <c r="G29" s="38" t="n">
        <f aca="false">D29-F29</f>
        <v>-16806939.7922478</v>
      </c>
    </row>
    <row r="30" customFormat="false" ht="18" hidden="false" customHeight="true" outlineLevel="0" collapsed="false">
      <c r="A30" s="15"/>
      <c r="B30" s="29" t="n">
        <v>22</v>
      </c>
      <c r="C30" s="29" t="n">
        <f aca="false">'Mis Datos'!C9+22</f>
        <v>57</v>
      </c>
      <c r="D30" s="30" t="n">
        <f aca="false">D29*(1+'Mis Datos'!C22)+'Mis Datos'!C16*12</f>
        <v>2082829.93326268</v>
      </c>
      <c r="E30" s="31" t="n">
        <f aca="false">E29*(1+0.08)+'Mis Datos'!C16*12*1.5</f>
        <v>3992886.37132725</v>
      </c>
      <c r="F30" s="32" t="n">
        <f aca="false">'Mis Datos'!C29</f>
        <v>18726590.6726843</v>
      </c>
      <c r="G30" s="33" t="n">
        <f aca="false">D30-F30</f>
        <v>-16643760.7394216</v>
      </c>
    </row>
    <row r="31" customFormat="false" ht="18" hidden="false" customHeight="true" outlineLevel="0" collapsed="false">
      <c r="A31" s="1"/>
      <c r="B31" s="34" t="n">
        <v>23</v>
      </c>
      <c r="C31" s="34" t="n">
        <f aca="false">'Mis Datos'!C9+23</f>
        <v>58</v>
      </c>
      <c r="D31" s="35" t="n">
        <f aca="false">D30*(1+'Mis Datos'!C22)+'Mis Datos'!C16*12</f>
        <v>2255799.72925844</v>
      </c>
      <c r="E31" s="36" t="n">
        <f aca="false">E30*(1+0.08)+'Mis Datos'!C16*12*1.5</f>
        <v>4384317.28103343</v>
      </c>
      <c r="F31" s="37" t="n">
        <f aca="false">'Mis Datos'!C29</f>
        <v>18726590.6726843</v>
      </c>
      <c r="G31" s="38" t="n">
        <f aca="false">D31-F31</f>
        <v>-16470790.9434259</v>
      </c>
    </row>
    <row r="32" customFormat="false" ht="18" hidden="false" customHeight="true" outlineLevel="0" collapsed="false">
      <c r="A32" s="15"/>
      <c r="B32" s="29" t="n">
        <v>24</v>
      </c>
      <c r="C32" s="29" t="n">
        <f aca="false">'Mis Datos'!C9+24</f>
        <v>59</v>
      </c>
      <c r="D32" s="30" t="n">
        <f aca="false">D31*(1+'Mis Datos'!C22)+'Mis Datos'!C16*12</f>
        <v>2439147.71301395</v>
      </c>
      <c r="E32" s="31" t="n">
        <f aca="false">E31*(1+0.08)+'Mis Datos'!C16*12*1.5</f>
        <v>4807062.6635161</v>
      </c>
      <c r="F32" s="32" t="n">
        <f aca="false">'Mis Datos'!C29</f>
        <v>18726590.6726843</v>
      </c>
      <c r="G32" s="33" t="n">
        <f aca="false">D32-F32</f>
        <v>-16287442.9596704</v>
      </c>
    </row>
    <row r="33" customFormat="false" ht="18" hidden="false" customHeight="true" outlineLevel="0" collapsed="false">
      <c r="A33" s="1"/>
      <c r="B33" s="34" t="n">
        <v>25</v>
      </c>
      <c r="C33" s="34" t="n">
        <f aca="false">'Mis Datos'!C9+25</f>
        <v>60</v>
      </c>
      <c r="D33" s="35" t="n">
        <f aca="false">D32*(1+'Mis Datos'!C22)+'Mis Datos'!C16*12</f>
        <v>2633496.57579479</v>
      </c>
      <c r="E33" s="36" t="n">
        <f aca="false">E32*(1+0.08)+'Mis Datos'!C16*12*1.5</f>
        <v>5263627.67659739</v>
      </c>
      <c r="F33" s="37" t="n">
        <f aca="false">'Mis Datos'!C29</f>
        <v>18726590.6726843</v>
      </c>
      <c r="G33" s="38" t="n">
        <f aca="false">D33-F33</f>
        <v>-16093094.0968895</v>
      </c>
    </row>
    <row r="34" customFormat="false" ht="18" hidden="false" customHeight="true" outlineLevel="0" collapsed="false">
      <c r="A34" s="15"/>
      <c r="B34" s="29" t="n">
        <v>26</v>
      </c>
      <c r="C34" s="29" t="n">
        <f aca="false">'Mis Datos'!C9+26</f>
        <v>61</v>
      </c>
      <c r="D34" s="30" t="n">
        <f aca="false">D33*(1+'Mis Datos'!C22)+'Mis Datos'!C16*12</f>
        <v>2839506.37034248</v>
      </c>
      <c r="E34" s="31" t="n">
        <f aca="false">E33*(1+0.08)+'Mis Datos'!C16*12*1.5</f>
        <v>5756717.89072518</v>
      </c>
      <c r="F34" s="32" t="n">
        <f aca="false">'Mis Datos'!C29</f>
        <v>18726590.6726843</v>
      </c>
      <c r="G34" s="33" t="n">
        <f aca="false">D34-F34</f>
        <v>-15887084.3023418</v>
      </c>
    </row>
    <row r="35" customFormat="false" ht="18" hidden="false" customHeight="true" outlineLevel="0" collapsed="false">
      <c r="A35" s="1"/>
      <c r="B35" s="34" t="n">
        <v>27</v>
      </c>
      <c r="C35" s="34" t="n">
        <f aca="false">'Mis Datos'!C9+27</f>
        <v>62</v>
      </c>
      <c r="D35" s="35" t="n">
        <f aca="false">D34*(1+'Mis Datos'!C22)+'Mis Datos'!C16*12</f>
        <v>3057876.75256302</v>
      </c>
      <c r="E35" s="36" t="n">
        <f aca="false">E34*(1+0.08)+'Mis Datos'!C16*12*1.5</f>
        <v>6289255.32198319</v>
      </c>
      <c r="F35" s="37" t="n">
        <f aca="false">'Mis Datos'!C29</f>
        <v>18726590.6726843</v>
      </c>
      <c r="G35" s="38" t="n">
        <f aca="false">D35-F35</f>
        <v>-15668713.9201213</v>
      </c>
    </row>
    <row r="36" customFormat="false" ht="18" hidden="false" customHeight="true" outlineLevel="0" collapsed="false">
      <c r="A36" s="15"/>
      <c r="B36" s="29" t="n">
        <v>28</v>
      </c>
      <c r="C36" s="29" t="n">
        <f aca="false">'Mis Datos'!C9+28</f>
        <v>63</v>
      </c>
      <c r="D36" s="30" t="n">
        <f aca="false">D35*(1+'Mis Datos'!C22)+'Mis Datos'!C16*12</f>
        <v>3289349.35771681</v>
      </c>
      <c r="E36" s="31" t="n">
        <f aca="false">E35*(1+0.08)+'Mis Datos'!C16*12*1.5</f>
        <v>6864395.74774185</v>
      </c>
      <c r="F36" s="32" t="n">
        <f aca="false">'Mis Datos'!C29</f>
        <v>18726590.6726843</v>
      </c>
      <c r="G36" s="33" t="n">
        <f aca="false">D36-F36</f>
        <v>-15437241.3149675</v>
      </c>
    </row>
    <row r="37" customFormat="false" ht="18" hidden="false" customHeight="true" outlineLevel="0" collapsed="false">
      <c r="A37" s="1"/>
      <c r="B37" s="34" t="n">
        <v>29</v>
      </c>
      <c r="C37" s="34" t="n">
        <f aca="false">'Mis Datos'!C9+29</f>
        <v>64</v>
      </c>
      <c r="D37" s="35" t="n">
        <f aca="false">D36*(1+'Mis Datos'!C22)+'Mis Datos'!C16*12</f>
        <v>3534710.31917981</v>
      </c>
      <c r="E37" s="36" t="n">
        <f aca="false">E36*(1+0.08)+'Mis Datos'!C16*12*1.5</f>
        <v>7485547.4075612</v>
      </c>
      <c r="F37" s="37" t="n">
        <f aca="false">'Mis Datos'!C29</f>
        <v>18726590.6726843</v>
      </c>
      <c r="G37" s="38" t="n">
        <f aca="false">D37-F37</f>
        <v>-15191880.3535045</v>
      </c>
    </row>
    <row r="38" customFormat="false" ht="18" hidden="false" customHeight="true" outlineLevel="0" collapsed="false">
      <c r="A38" s="15"/>
      <c r="B38" s="29" t="n">
        <v>30</v>
      </c>
      <c r="C38" s="29" t="n">
        <f aca="false">'Mis Datos'!C9+30</f>
        <v>65</v>
      </c>
      <c r="D38" s="30" t="n">
        <f aca="false">D37*(1+'Mis Datos'!C22)+'Mis Datos'!C16*12</f>
        <v>3794792.9383306</v>
      </c>
      <c r="E38" s="31" t="n">
        <f aca="false">E37*(1+0.08)+'Mis Datos'!C16*12*1.5</f>
        <v>8156391.20016609</v>
      </c>
      <c r="F38" s="32" t="n">
        <f aca="false">'Mis Datos'!C29</f>
        <v>18726590.6726843</v>
      </c>
      <c r="G38" s="33" t="n">
        <f aca="false">D38-F38</f>
        <v>-14931797.7343537</v>
      </c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.75" hidden="false" customHeight="true" outlineLevel="0" collapsed="false">
      <c r="A40" s="1"/>
      <c r="B40" s="39" t="s">
        <v>40</v>
      </c>
      <c r="C40" s="39"/>
      <c r="D40" s="39"/>
      <c r="E40" s="39"/>
      <c r="F40" s="39"/>
      <c r="G40" s="39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</row>
  </sheetData>
  <mergeCells count="2">
    <mergeCell ref="A2:G4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7.75" hidden="false" customHeight="true" outlineLevel="0" collapsed="false">
      <c r="A2" s="10" t="s">
        <v>41</v>
      </c>
      <c r="B2" s="10"/>
      <c r="C2" s="10"/>
      <c r="D2" s="10"/>
    </row>
    <row r="3" customFormat="false" ht="15" hidden="false" customHeight="false" outlineLevel="0" collapsed="false">
      <c r="A3" s="10"/>
      <c r="B3" s="10"/>
      <c r="C3" s="10"/>
      <c r="D3" s="10"/>
    </row>
    <row r="4" customFormat="false" ht="15" hidden="false" customHeight="false" outlineLevel="0" collapsed="false">
      <c r="A4" s="10"/>
      <c r="B4" s="10"/>
      <c r="C4" s="10"/>
      <c r="D4" s="10"/>
    </row>
    <row r="5" customFormat="false" ht="3" hidden="false" customHeight="true" outlineLevel="0" collapsed="false">
      <c r="A5" s="4"/>
      <c r="B5" s="4"/>
      <c r="C5" s="4"/>
      <c r="D5" s="4"/>
    </row>
    <row r="6" customFormat="false" ht="15" hidden="false" customHeight="false" outlineLevel="0" collapsed="false">
      <c r="A6" s="1"/>
      <c r="B6" s="1"/>
      <c r="C6" s="1"/>
      <c r="D6" s="1"/>
    </row>
    <row r="7" customFormat="false" ht="7.5" hidden="false" customHeight="true" outlineLevel="0" collapsed="false">
      <c r="A7" s="1"/>
      <c r="B7" s="1"/>
      <c r="C7" s="1"/>
      <c r="D7" s="1"/>
    </row>
    <row r="8" customFormat="false" ht="24" hidden="false" customHeight="true" outlineLevel="0" collapsed="false">
      <c r="A8" s="1"/>
      <c r="B8" s="11" t="s">
        <v>42</v>
      </c>
      <c r="C8" s="11"/>
      <c r="D8" s="1"/>
    </row>
    <row r="9" customFormat="false" ht="39.75" hidden="false" customHeight="true" outlineLevel="0" collapsed="false">
      <c r="A9" s="1"/>
      <c r="B9" s="40" t="s">
        <v>43</v>
      </c>
      <c r="C9" s="40"/>
      <c r="D9" s="1"/>
    </row>
    <row r="10" customFormat="false" ht="7.5" hidden="false" customHeight="true" outlineLevel="0" collapsed="false">
      <c r="A10" s="1"/>
      <c r="B10" s="1"/>
      <c r="C10" s="1"/>
      <c r="D10" s="1"/>
    </row>
    <row r="11" customFormat="false" ht="24" hidden="false" customHeight="true" outlineLevel="0" collapsed="false">
      <c r="A11" s="1"/>
      <c r="B11" s="11" t="s">
        <v>44</v>
      </c>
      <c r="C11" s="11"/>
      <c r="D11" s="1"/>
    </row>
    <row r="12" customFormat="false" ht="39.75" hidden="false" customHeight="true" outlineLevel="0" collapsed="false">
      <c r="A12" s="1"/>
      <c r="B12" s="40" t="s">
        <v>45</v>
      </c>
      <c r="C12" s="40"/>
      <c r="D12" s="1"/>
    </row>
    <row r="13" customFormat="false" ht="7.5" hidden="false" customHeight="true" outlineLevel="0" collapsed="false">
      <c r="A13" s="1"/>
      <c r="B13" s="1"/>
      <c r="C13" s="1"/>
      <c r="D13" s="1"/>
    </row>
    <row r="14" customFormat="false" ht="24" hidden="false" customHeight="true" outlineLevel="0" collapsed="false">
      <c r="A14" s="1"/>
      <c r="B14" s="11" t="s">
        <v>46</v>
      </c>
      <c r="C14" s="11"/>
      <c r="D14" s="1"/>
    </row>
    <row r="15" customFormat="false" ht="39.75" hidden="false" customHeight="true" outlineLevel="0" collapsed="false">
      <c r="A15" s="1"/>
      <c r="B15" s="40" t="s">
        <v>47</v>
      </c>
      <c r="C15" s="40"/>
      <c r="D15" s="1"/>
    </row>
    <row r="16" customFormat="false" ht="7.5" hidden="false" customHeight="true" outlineLevel="0" collapsed="false">
      <c r="A16" s="1"/>
      <c r="B16" s="1"/>
      <c r="C16" s="1"/>
      <c r="D16" s="1"/>
    </row>
    <row r="17" customFormat="false" ht="24" hidden="false" customHeight="true" outlineLevel="0" collapsed="false">
      <c r="A17" s="1"/>
      <c r="B17" s="11" t="s">
        <v>48</v>
      </c>
      <c r="C17" s="11"/>
      <c r="D17" s="1"/>
    </row>
    <row r="18" customFormat="false" ht="39.75" hidden="false" customHeight="true" outlineLevel="0" collapsed="false">
      <c r="A18" s="1"/>
      <c r="B18" s="40" t="s">
        <v>49</v>
      </c>
      <c r="C18" s="40"/>
      <c r="D18" s="1"/>
    </row>
    <row r="19" customFormat="false" ht="7.5" hidden="false" customHeight="true" outlineLevel="0" collapsed="false">
      <c r="A19" s="1"/>
      <c r="B19" s="1"/>
      <c r="C19" s="1"/>
      <c r="D19" s="1"/>
    </row>
    <row r="20" customFormat="false" ht="24" hidden="false" customHeight="true" outlineLevel="0" collapsed="false">
      <c r="A20" s="1"/>
      <c r="B20" s="11" t="s">
        <v>50</v>
      </c>
      <c r="C20" s="11"/>
      <c r="D20" s="1"/>
    </row>
    <row r="21" customFormat="false" ht="39.75" hidden="false" customHeight="true" outlineLevel="0" collapsed="false">
      <c r="A21" s="1"/>
      <c r="B21" s="40" t="s">
        <v>51</v>
      </c>
      <c r="C21" s="40"/>
      <c r="D21" s="1"/>
    </row>
    <row r="22" customFormat="false" ht="15" hidden="false" customHeight="false" outlineLevel="0" collapsed="false">
      <c r="A22" s="1"/>
      <c r="B22" s="1"/>
      <c r="C22" s="1"/>
      <c r="D22" s="1"/>
    </row>
    <row r="23" customFormat="false" ht="7.5" hidden="false" customHeight="true" outlineLevel="0" collapsed="false">
      <c r="A23" s="1"/>
      <c r="B23" s="1"/>
      <c r="C23" s="1"/>
      <c r="D23" s="1"/>
    </row>
    <row r="24" customFormat="false" ht="30" hidden="false" customHeight="true" outlineLevel="0" collapsed="false">
      <c r="A24" s="1"/>
      <c r="B24" s="41" t="s">
        <v>52</v>
      </c>
      <c r="C24" s="4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1"/>
      <c r="C32" s="1"/>
      <c r="D32" s="1"/>
    </row>
    <row r="33" customFormat="false" ht="15" hidden="false" customHeight="false" outlineLevel="0" collapsed="false">
      <c r="A33" s="1"/>
      <c r="B33" s="1"/>
      <c r="C33" s="1"/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1"/>
      <c r="C37" s="1"/>
      <c r="D37" s="1"/>
    </row>
    <row r="38" customFormat="false" ht="15" hidden="false" customHeight="false" outlineLevel="0" collapsed="false">
      <c r="A38" s="1"/>
      <c r="B38" s="1"/>
      <c r="C38" s="1"/>
      <c r="D38" s="1"/>
    </row>
    <row r="39" customFormat="false" ht="15" hidden="false" customHeight="false" outlineLevel="0" collapsed="false">
      <c r="A39" s="1"/>
      <c r="B39" s="1"/>
      <c r="C39" s="1"/>
      <c r="D39" s="1"/>
    </row>
    <row r="40" customFormat="false" ht="15" hidden="false" customHeight="false" outlineLevel="0" collapsed="false">
      <c r="A40" s="1"/>
      <c r="B40" s="1"/>
      <c r="C40" s="1"/>
      <c r="D40" s="1"/>
    </row>
    <row r="41" customFormat="false" ht="15" hidden="false" customHeight="false" outlineLevel="0" collapsed="false">
      <c r="A41" s="1"/>
      <c r="B41" s="1"/>
      <c r="C41" s="1"/>
      <c r="D41" s="1"/>
    </row>
    <row r="42" customFormat="false" ht="15" hidden="false" customHeight="false" outlineLevel="0" collapsed="false">
      <c r="A42" s="1"/>
      <c r="B42" s="1"/>
      <c r="C42" s="1"/>
      <c r="D42" s="1"/>
    </row>
    <row r="43" customFormat="false" ht="15" hidden="false" customHeight="false" outlineLevel="0" collapsed="false">
      <c r="A43" s="1"/>
      <c r="B43" s="1"/>
      <c r="C43" s="1"/>
      <c r="D43" s="1"/>
    </row>
    <row r="44" customFormat="false" ht="15" hidden="false" customHeight="false" outlineLevel="0" collapsed="false">
      <c r="A44" s="1"/>
      <c r="B44" s="1"/>
      <c r="C44" s="1"/>
      <c r="D44" s="1"/>
    </row>
    <row r="45" customFormat="false" ht="15" hidden="false" customHeight="false" outlineLevel="0" collapsed="false">
      <c r="A45" s="1"/>
      <c r="B45" s="1"/>
      <c r="C45" s="1"/>
      <c r="D45" s="1"/>
    </row>
    <row r="46" customFormat="false" ht="15" hidden="false" customHeight="false" outlineLevel="0" collapsed="false">
      <c r="A46" s="1"/>
      <c r="B46" s="1"/>
      <c r="C46" s="1"/>
      <c r="D46" s="1"/>
    </row>
    <row r="47" customFormat="false" ht="15" hidden="false" customHeight="false" outlineLevel="0" collapsed="false">
      <c r="A47" s="1"/>
      <c r="B47" s="1"/>
      <c r="C47" s="1"/>
      <c r="D47" s="1"/>
    </row>
    <row r="48" customFormat="false" ht="15" hidden="false" customHeight="false" outlineLevel="0" collapsed="false">
      <c r="A48" s="1"/>
      <c r="B48" s="1"/>
      <c r="C48" s="1"/>
      <c r="D48" s="1"/>
    </row>
    <row r="49" customFormat="false" ht="15" hidden="false" customHeight="false" outlineLevel="0" collapsed="false">
      <c r="A49" s="1"/>
      <c r="B49" s="1"/>
      <c r="C49" s="1"/>
      <c r="D49" s="1"/>
    </row>
    <row r="50" customFormat="false" ht="15" hidden="false" customHeight="false" outlineLevel="0" collapsed="false">
      <c r="A50" s="1"/>
      <c r="B50" s="1"/>
      <c r="C50" s="1"/>
      <c r="D50" s="1"/>
    </row>
  </sheetData>
  <mergeCells count="12">
    <mergeCell ref="A2:D4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2026-04-30T07:25:09Z</dcterms:created>
  <dc:creator>openpyxl</dc:creator>
  <dc:description/>
  <dc:language>en-US</dc:language>
  <cp:lastModifiedBy/>
  <dcterms:modified xsi:type="dcterms:W3CDTF">2026-04-30T07:25:18Z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